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ernavaca01\Documents\MAOR\ANGEL IVAN ORTEGA\SISTEMA\"/>
    </mc:Choice>
  </mc:AlternateContent>
  <xr:revisionPtr revIDLastSave="0" documentId="8_{53A6E4DD-C64E-43AD-A5B4-D5977406090C}" xr6:coauthVersionLast="47" xr6:coauthVersionMax="47" xr10:uidLastSave="{00000000-0000-0000-0000-000000000000}"/>
  <bookViews>
    <workbookView xWindow="345" yWindow="405" windowWidth="18885" windowHeight="14655" xr2:uid="{8F1726D1-2EFD-4558-B673-2015B08748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2" i="1" s="1"/>
  <c r="D1" i="1" s="1"/>
  <c r="H14" i="1"/>
  <c r="H15" i="1"/>
  <c r="D11" i="1"/>
  <c r="E13" i="1"/>
  <c r="E12" i="1" s="1"/>
  <c r="E11" i="1" s="1"/>
  <c r="F13" i="1"/>
  <c r="F12" i="1" s="1"/>
  <c r="F11" i="1" s="1"/>
  <c r="G13" i="1"/>
  <c r="G12" i="1" s="1"/>
  <c r="G11" i="1" s="1"/>
  <c r="D13" i="1"/>
  <c r="D12" i="1" s="1"/>
  <c r="G8" i="1"/>
  <c r="G9" i="1" s="1"/>
  <c r="F8" i="1"/>
  <c r="F9" i="1" s="1"/>
  <c r="E8" i="1"/>
  <c r="E9" i="1" s="1"/>
  <c r="H13" i="1" l="1"/>
  <c r="H12" i="1" s="1"/>
  <c r="H11" i="1" s="1"/>
  <c r="D8" i="1"/>
  <c r="D9" i="1" l="1"/>
  <c r="I9" i="1" s="1"/>
  <c r="H8" i="1"/>
</calcChain>
</file>

<file path=xl/sharedStrings.xml><?xml version="1.0" encoding="utf-8"?>
<sst xmlns="http://schemas.openxmlformats.org/spreadsheetml/2006/main" count="10" uniqueCount="5">
  <si>
    <t>PT</t>
  </si>
  <si>
    <t>IVA</t>
  </si>
  <si>
    <t>SUBTOT</t>
  </si>
  <si>
    <t>EMISION</t>
  </si>
  <si>
    <t>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</si>
</sst>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44" fontId="0" fillId="0" borderId="0" xfId="1" applyFont="1"/>
    <xf numFmtId="44" fontId="0" fillId="0" borderId="0" xfId="0" applyNumberFormat="1"/>
    <xf numFmtId="9" fontId="0" fillId="0" borderId="0" xfId="0" applyNumberFormat="1"/>
    <xf numFmtId="9" fontId="0" fillId="0" borderId="1" xfId="2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44" fontId="0" fillId="0" borderId="1" xfId="1" applyFont="1" applyBorder="1"/>
    <xf numFmtId="44" fontId="0" fillId="2" borderId="1" xfId="1" applyFont="1" applyFill="1" applyBorder="1"/>
    <xf numFmtId="0" fontId="0" fillId="0" borderId="1" xfId="0" applyBorder="1"/>
    <xf numFmtId="44" fontId="2" fillId="2" borderId="1" xfId="1" applyFont="1" applyFill="1" applyBorder="1"/>
    <xf numFmtId="44" fontId="2" fillId="0" borderId="1" xfId="1" applyFont="1" applyBorder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4A73B-3464-4FD5-98F3-7E1815451A57}">
  <dimension ref="C1:I15"/>
  <sheetViews>
    <sheetView tabSelected="1" workbookViewId="0">
      <selection activeCell="H5" sqref="H5"/>
    </sheetView>
  </sheetViews>
  <sheetFormatPr baseColWidth="10" defaultRowHeight="15" x14ac:dyDescent="0.25"/>
  <cols>
    <col min="4" max="4" width="11.42578125" style="1"/>
    <col min="7" max="7" width="11.85546875" bestFit="1" customWidth="1"/>
  </cols>
  <sheetData>
    <row r="1" spans="3:9" x14ac:dyDescent="0.25">
      <c r="C1" t="s">
        <v>0</v>
      </c>
      <c r="D1" s="1">
        <f>SUM(D2:D3)</f>
        <v>798.99639999999999</v>
      </c>
      <c r="E1" s="1">
        <v>625</v>
      </c>
      <c r="F1" s="1">
        <v>625</v>
      </c>
      <c r="G1" s="1">
        <v>625</v>
      </c>
      <c r="H1" s="2"/>
    </row>
    <row r="2" spans="3:9" x14ac:dyDescent="0.25">
      <c r="C2" t="s">
        <v>1</v>
      </c>
      <c r="D2" s="1">
        <f>SUM(D3*16%)</f>
        <v>110.2064</v>
      </c>
    </row>
    <row r="3" spans="3:9" x14ac:dyDescent="0.25">
      <c r="C3" t="s">
        <v>2</v>
      </c>
      <c r="D3" s="1">
        <f>SUM(D4:D5)</f>
        <v>688.79</v>
      </c>
    </row>
    <row r="4" spans="3:9" x14ac:dyDescent="0.25">
      <c r="C4" t="s">
        <v>3</v>
      </c>
      <c r="D4" s="1">
        <v>100</v>
      </c>
    </row>
    <row r="5" spans="3:9" x14ac:dyDescent="0.25">
      <c r="C5" t="s">
        <v>4</v>
      </c>
      <c r="D5" s="1">
        <v>588.79</v>
      </c>
    </row>
    <row r="6" spans="3:9" x14ac:dyDescent="0.25">
      <c r="E6" s="3"/>
    </row>
    <row r="8" spans="3:9" x14ac:dyDescent="0.25">
      <c r="D8" s="4">
        <f>SUM(D1/H9)</f>
        <v>0.29880194465220644</v>
      </c>
      <c r="E8" s="4">
        <f>SUM(E1/H9)</f>
        <v>0.2337322363500374</v>
      </c>
      <c r="F8" s="4">
        <f>SUM(F1/H9)</f>
        <v>0.2337322363500374</v>
      </c>
      <c r="G8" s="4">
        <f>SUM(G1/H9)</f>
        <v>0.2337322363500374</v>
      </c>
      <c r="H8" s="5">
        <f>SUM(D8:G8)</f>
        <v>0.99999865370231855</v>
      </c>
    </row>
    <row r="9" spans="3:9" x14ac:dyDescent="0.25">
      <c r="D9" s="6">
        <f>SUM(H9*D8)</f>
        <v>798.99639999999999</v>
      </c>
      <c r="E9" s="6">
        <f>SUM(H9*E8)</f>
        <v>625</v>
      </c>
      <c r="F9" s="6">
        <f>SUM(H9*F8)</f>
        <v>625</v>
      </c>
      <c r="G9" s="6">
        <f>SUM(H9*G8)</f>
        <v>625</v>
      </c>
      <c r="H9" s="7">
        <v>2674</v>
      </c>
      <c r="I9" s="2">
        <f>SUM(D9:G9)</f>
        <v>2673.9964</v>
      </c>
    </row>
    <row r="10" spans="3:9" x14ac:dyDescent="0.25">
      <c r="E10" s="1"/>
      <c r="F10" s="1"/>
      <c r="G10" s="1"/>
      <c r="H10" s="1"/>
      <c r="I10" s="1"/>
    </row>
    <row r="11" spans="3:9" x14ac:dyDescent="0.25">
      <c r="C11" s="8" t="s">
        <v>0</v>
      </c>
      <c r="D11" s="6">
        <f>SUM(D12:D13)</f>
        <v>798.99639999999999</v>
      </c>
      <c r="E11" s="6">
        <f t="shared" ref="E11:G11" si="0">SUM(E12:E13)</f>
        <v>624.99639999999999</v>
      </c>
      <c r="F11" s="6">
        <f t="shared" si="0"/>
        <v>624.99639999999999</v>
      </c>
      <c r="G11" s="6">
        <f t="shared" si="0"/>
        <v>624.99639999999999</v>
      </c>
      <c r="H11" s="9">
        <f>SUM(H12:H13)</f>
        <v>2673.9856</v>
      </c>
    </row>
    <row r="12" spans="3:9" x14ac:dyDescent="0.25">
      <c r="C12" s="8" t="s">
        <v>1</v>
      </c>
      <c r="D12" s="6">
        <f>SUM(D13*16%)</f>
        <v>110.2064</v>
      </c>
      <c r="E12" s="6">
        <f t="shared" ref="E12:H12" si="1">SUM(E13*16%)</f>
        <v>86.206400000000002</v>
      </c>
      <c r="F12" s="6">
        <f t="shared" si="1"/>
        <v>86.206400000000002</v>
      </c>
      <c r="G12" s="6">
        <f t="shared" si="1"/>
        <v>86.206400000000002</v>
      </c>
      <c r="H12" s="10">
        <f t="shared" si="1"/>
        <v>368.82560000000001</v>
      </c>
    </row>
    <row r="13" spans="3:9" x14ac:dyDescent="0.25">
      <c r="C13" s="8" t="s">
        <v>2</v>
      </c>
      <c r="D13" s="6">
        <f>SUM(D14:D15)</f>
        <v>688.79</v>
      </c>
      <c r="E13" s="6">
        <f t="shared" ref="E13:H13" si="2">SUM(E14:E15)</f>
        <v>538.79</v>
      </c>
      <c r="F13" s="6">
        <f t="shared" si="2"/>
        <v>538.79</v>
      </c>
      <c r="G13" s="6">
        <f t="shared" si="2"/>
        <v>538.79</v>
      </c>
      <c r="H13" s="10">
        <f t="shared" si="2"/>
        <v>2305.16</v>
      </c>
    </row>
    <row r="14" spans="3:9" x14ac:dyDescent="0.25">
      <c r="C14" s="8" t="s">
        <v>3</v>
      </c>
      <c r="D14" s="6">
        <v>100</v>
      </c>
      <c r="E14" s="6">
        <v>100</v>
      </c>
      <c r="F14" s="6">
        <v>100</v>
      </c>
      <c r="G14" s="6">
        <v>100</v>
      </c>
      <c r="H14" s="10">
        <f>SUM(D14:G14)</f>
        <v>400</v>
      </c>
    </row>
    <row r="15" spans="3:9" x14ac:dyDescent="0.25">
      <c r="C15" s="8" t="s">
        <v>4</v>
      </c>
      <c r="D15" s="6">
        <v>588.79</v>
      </c>
      <c r="E15" s="6">
        <v>438.79</v>
      </c>
      <c r="F15" s="6">
        <v>438.79</v>
      </c>
      <c r="G15" s="6">
        <v>438.79</v>
      </c>
      <c r="H15" s="10">
        <f>SUM(D15:G15)</f>
        <v>1905.1599999999999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Ortiga</dc:creator>
  <cp:lastModifiedBy>Marco Ortiga</cp:lastModifiedBy>
  <dcterms:created xsi:type="dcterms:W3CDTF">2026-06-19T16:08:49Z</dcterms:created>
  <dcterms:modified xsi:type="dcterms:W3CDTF">2026-06-19T16:34:34Z</dcterms:modified>
</cp:coreProperties>
</file>